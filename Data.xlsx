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a5164302e0ac81/Documents/ITE442/Final Project/"/>
    </mc:Choice>
  </mc:AlternateContent>
  <xr:revisionPtr revIDLastSave="138" documentId="8_{0C7B5301-822F-4016-9E5B-235B64DB14CC}" xr6:coauthVersionLast="47" xr6:coauthVersionMax="47" xr10:uidLastSave="{3CE43167-AC93-44DB-8BA3-36FFA6CFC507}"/>
  <bookViews>
    <workbookView xWindow="11424" yWindow="0" windowWidth="11712" windowHeight="13056" firstSheet="2" activeTab="3" xr2:uid="{6DFBB1C5-C37A-48CD-8774-77D923698EF2}"/>
  </bookViews>
  <sheets>
    <sheet name="Stock_transactions" sheetId="1" r:id="rId1"/>
    <sheet name="Stock_Managers" sheetId="2" r:id="rId2"/>
    <sheet name="Products" sheetId="3" r:id="rId3"/>
    <sheet name="Order_Details" sheetId="4" r:id="rId4"/>
    <sheet name="Orders" sheetId="5" r:id="rId5"/>
    <sheet name="Customers" sheetId="7" r:id="rId6"/>
    <sheet name="Categories" sheetId="8" r:id="rId7"/>
    <sheet name="Brands" sheetId="9" r:id="rId8"/>
    <sheet name="Delivery Services" sheetId="10" r:id="rId9"/>
    <sheet name="Payment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7" l="1"/>
  <c r="E10" i="7"/>
  <c r="E9" i="7"/>
  <c r="E8" i="7"/>
  <c r="E7" i="7"/>
  <c r="E6" i="7"/>
  <c r="E5" i="7"/>
  <c r="E4" i="7"/>
  <c r="E3" i="7"/>
  <c r="E2" i="7"/>
</calcChain>
</file>

<file path=xl/sharedStrings.xml><?xml version="1.0" encoding="utf-8"?>
<sst xmlns="http://schemas.openxmlformats.org/spreadsheetml/2006/main" count="581" uniqueCount="284">
  <si>
    <t>Transaction_ID</t>
  </si>
  <si>
    <t>Product_ID</t>
  </si>
  <si>
    <t>Manager_ID</t>
  </si>
  <si>
    <t>Quantity</t>
  </si>
  <si>
    <t>ST001</t>
  </si>
  <si>
    <t>P001</t>
  </si>
  <si>
    <t>M001</t>
  </si>
  <si>
    <t>IN</t>
  </si>
  <si>
    <t>ST002</t>
  </si>
  <si>
    <t>P002</t>
  </si>
  <si>
    <t>M002</t>
  </si>
  <si>
    <t>ST003</t>
  </si>
  <si>
    <t>P003</t>
  </si>
  <si>
    <t>M003</t>
  </si>
  <si>
    <t>ST004</t>
  </si>
  <si>
    <t>P004</t>
  </si>
  <si>
    <t>M004</t>
  </si>
  <si>
    <t>ST005</t>
  </si>
  <si>
    <t>P005</t>
  </si>
  <si>
    <t>M005</t>
  </si>
  <si>
    <t>ST006</t>
  </si>
  <si>
    <t>P006</t>
  </si>
  <si>
    <t>M006</t>
  </si>
  <si>
    <t>ST007</t>
  </si>
  <si>
    <t>P007</t>
  </si>
  <si>
    <t>M007</t>
  </si>
  <si>
    <t>ST008</t>
  </si>
  <si>
    <t>P008</t>
  </si>
  <si>
    <t>M008</t>
  </si>
  <si>
    <t>ST009</t>
  </si>
  <si>
    <t>P009</t>
  </si>
  <si>
    <t>M009</t>
  </si>
  <si>
    <t>ST010</t>
  </si>
  <si>
    <t>P010</t>
  </si>
  <si>
    <t>M010</t>
  </si>
  <si>
    <t>ST011</t>
  </si>
  <si>
    <t>OUT</t>
  </si>
  <si>
    <t>ST012</t>
  </si>
  <si>
    <t>ST013</t>
  </si>
  <si>
    <t>ST014</t>
  </si>
  <si>
    <t>ST015</t>
  </si>
  <si>
    <t>ST016</t>
  </si>
  <si>
    <t>ST017</t>
  </si>
  <si>
    <t>ST018</t>
  </si>
  <si>
    <t>ST019</t>
  </si>
  <si>
    <t>ST020</t>
  </si>
  <si>
    <t>ST021</t>
  </si>
  <si>
    <t>P011</t>
  </si>
  <si>
    <t>ST022</t>
  </si>
  <si>
    <t>P012</t>
  </si>
  <si>
    <t>ST023</t>
  </si>
  <si>
    <t>P013</t>
  </si>
  <si>
    <t>ST024</t>
  </si>
  <si>
    <t>P014</t>
  </si>
  <si>
    <t>ST025</t>
  </si>
  <si>
    <t>P015</t>
  </si>
  <si>
    <t>ST026</t>
  </si>
  <si>
    <t>ST027</t>
  </si>
  <si>
    <t>ST028</t>
  </si>
  <si>
    <t>ST029</t>
  </si>
  <si>
    <t>ST030</t>
  </si>
  <si>
    <t>Transaction_type</t>
  </si>
  <si>
    <t>Ph_No</t>
  </si>
  <si>
    <t>Email</t>
  </si>
  <si>
    <t>Robert Carter</t>
  </si>
  <si>
    <t>081-111-2233</t>
  </si>
  <si>
    <t>robert.carter@gmail.com</t>
  </si>
  <si>
    <t>Anna Williams</t>
  </si>
  <si>
    <t>082-222-3344</t>
  </si>
  <si>
    <t>anna.williams@gmail.com</t>
  </si>
  <si>
    <t>John Martin</t>
  </si>
  <si>
    <t>083-333-4455</t>
  </si>
  <si>
    <t>john.martin@gmail.com</t>
  </si>
  <si>
    <t>Grace Lee</t>
  </si>
  <si>
    <t>084-444-5566</t>
  </si>
  <si>
    <t>grace.lee@gmail.com</t>
  </si>
  <si>
    <t>Thomas Clark</t>
  </si>
  <si>
    <t>085-555-6677</t>
  </si>
  <si>
    <t>thomas.clark@gmail.com</t>
  </si>
  <si>
    <t>Linda Walker</t>
  </si>
  <si>
    <t>086-666-7788</t>
  </si>
  <si>
    <t>linda.walker@gmail.com</t>
  </si>
  <si>
    <t>Kevin Hall</t>
  </si>
  <si>
    <t>087-777-8899</t>
  </si>
  <si>
    <t>kevin.hall@gmail.com</t>
  </si>
  <si>
    <t>Sarah Young</t>
  </si>
  <si>
    <t>088-888-9900</t>
  </si>
  <si>
    <t>sarah.young@gmail.com</t>
  </si>
  <si>
    <t>David King</t>
  </si>
  <si>
    <t>089-999-0011</t>
  </si>
  <si>
    <t>david.king@gmail.com</t>
  </si>
  <si>
    <t>Mary Wright</t>
  </si>
  <si>
    <t>080-000-1122</t>
  </si>
  <si>
    <t>mary.wright@gmail.com</t>
  </si>
  <si>
    <t>Product_Name</t>
  </si>
  <si>
    <t>Brand_ID</t>
  </si>
  <si>
    <t>Category_ID</t>
  </si>
  <si>
    <t>Price</t>
  </si>
  <si>
    <t>Stock_Quantity</t>
  </si>
  <si>
    <t>Hydrating Facial Cleanser</t>
  </si>
  <si>
    <t>B001</t>
  </si>
  <si>
    <t>CAT001</t>
  </si>
  <si>
    <t>Vitamin C Serum</t>
  </si>
  <si>
    <t>B002</t>
  </si>
  <si>
    <t>Hyaluronic Acid Serum</t>
  </si>
  <si>
    <t>B003</t>
  </si>
  <si>
    <t>Moisturizing Face Cream</t>
  </si>
  <si>
    <t>B004</t>
  </si>
  <si>
    <t>SPF 50 Sunscreen</t>
  </si>
  <si>
    <t>B005</t>
  </si>
  <si>
    <t>Liquid Foundation</t>
  </si>
  <si>
    <t>B006</t>
  </si>
  <si>
    <t>CAT002</t>
  </si>
  <si>
    <t>Velvet Lipstick</t>
  </si>
  <si>
    <t>B007</t>
  </si>
  <si>
    <t>Eau de Parfum</t>
  </si>
  <si>
    <t>B008</t>
  </si>
  <si>
    <t>CAT003</t>
  </si>
  <si>
    <t>Luxury Perfume</t>
  </si>
  <si>
    <t>B009</t>
  </si>
  <si>
    <t>Premium Eau de Parfum</t>
  </si>
  <si>
    <t>B010</t>
  </si>
  <si>
    <t>Order_ID</t>
  </si>
  <si>
    <t>Subtotal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</si>
  <si>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</si>
  <si>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</si>
  <si>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</si>
  <si>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</si>
  <si>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</si>
  <si>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</si>
  <si>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</si>
  <si>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</si>
  <si>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</si>
  <si>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</si>
  <si>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</si>
  <si>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</si>
  <si>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</si>
  <si>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</si>
  <si>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</si>
  <si>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</si>
  <si>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</si>
  <si>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</si>
  <si>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</si>
  <si>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</si>
  <si>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Customer_ID</t>
  </si>
  <si>
    <t>Status</t>
  </si>
  <si>
    <t>Total_Amount</t>
  </si>
  <si>
    <t>C001</t>
  </si>
  <si>
    <t>Completed</t>
  </si>
  <si>
    <t>C003</t>
  </si>
  <si>
    <t>Pending</t>
  </si>
  <si>
    <t>C002</t>
  </si>
  <si>
    <t>C005</t>
  </si>
  <si>
    <t>Cancelled</t>
  </si>
  <si>
    <t>C004</t>
  </si>
  <si>
    <t>C007</t>
  </si>
  <si>
    <t>C006</t>
  </si>
  <si>
    <t>C010</t>
  </si>
  <si>
    <t>C008</t>
  </si>
  <si>
    <t>Shipped</t>
  </si>
  <si>
    <t>C009</t>
  </si>
  <si>
    <t>Delivery_ID</t>
  </si>
  <si>
    <t>D001</t>
  </si>
  <si>
    <t>D002</t>
  </si>
  <si>
    <t>D003</t>
  </si>
  <si>
    <t>D004</t>
  </si>
  <si>
    <t>D005</t>
  </si>
  <si>
    <t>Phone</t>
  </si>
  <si>
    <t>Address</t>
  </si>
  <si>
    <t>Alex Johnson</t>
  </si>
  <si>
    <t>06-321-76560</t>
  </si>
  <si>
    <t>12 Sukhumvit Rd, Bangkok</t>
  </si>
  <si>
    <t>Emily Smith</t>
  </si>
  <si>
    <t>06-234-76561</t>
  </si>
  <si>
    <t>45 Rama 9 Rd, Bangkok</t>
  </si>
  <si>
    <t>Daniel Brown</t>
  </si>
  <si>
    <t>06-645-76562</t>
  </si>
  <si>
    <t>78 Silom Rd, Bangkok</t>
  </si>
  <si>
    <t>Sophia Wilson</t>
  </si>
  <si>
    <t>06-874-76563</t>
  </si>
  <si>
    <t>23 Sathorn Rd, Bangkok</t>
  </si>
  <si>
    <t>06-783-76564</t>
  </si>
  <si>
    <t>56 Ratchada Rd, Bangkok</t>
  </si>
  <si>
    <t>Michael Davis</t>
  </si>
  <si>
    <t>06-458-76565</t>
  </si>
  <si>
    <t>89 Phaya Thai Rd, Bangkok</t>
  </si>
  <si>
    <t>Isabella Moore</t>
  </si>
  <si>
    <t>06-843-76566</t>
  </si>
  <si>
    <t>34 Ari Rd, Bangkok</t>
  </si>
  <si>
    <t>James Anderson</t>
  </si>
  <si>
    <t>06-126-76567</t>
  </si>
  <si>
    <t>67 Ladprao Rd, Bangkok</t>
  </si>
  <si>
    <t>Emma Taylor</t>
  </si>
  <si>
    <t>06-945-76568</t>
  </si>
  <si>
    <t>91 Asoke Rd, Bangkok</t>
  </si>
  <si>
    <t>William Thomas</t>
  </si>
  <si>
    <t>06-677-76569</t>
  </si>
  <si>
    <t>15 On Nut Rd, Bangkok</t>
  </si>
  <si>
    <t>Skincare</t>
  </si>
  <si>
    <t>Makeup</t>
  </si>
  <si>
    <t>Perfume</t>
  </si>
  <si>
    <t>CAT004</t>
  </si>
  <si>
    <t>Beauty Accessories</t>
  </si>
  <si>
    <t>CAT005</t>
  </si>
  <si>
    <t>Haircare</t>
  </si>
  <si>
    <t>CAT006</t>
  </si>
  <si>
    <t>Body Care</t>
  </si>
  <si>
    <t>CAT007</t>
  </si>
  <si>
    <t>Lip Care</t>
  </si>
  <si>
    <t>CAT008</t>
  </si>
  <si>
    <t>Eye Makeup</t>
  </si>
  <si>
    <t>CAT009</t>
  </si>
  <si>
    <t>Nail Care</t>
  </si>
  <si>
    <t>CAT010</t>
  </si>
  <si>
    <t>Sun Care</t>
  </si>
  <si>
    <t>Country_of_Origin</t>
  </si>
  <si>
    <t>CeraVe</t>
  </si>
  <si>
    <t>United States</t>
  </si>
  <si>
    <t>The Ordinary</t>
  </si>
  <si>
    <t>Canada</t>
  </si>
  <si>
    <t>La Roche-Posay</t>
  </si>
  <si>
    <t>France</t>
  </si>
  <si>
    <t>Clinique</t>
  </si>
  <si>
    <t>Neutrogena</t>
  </si>
  <si>
    <t>Maybelline</t>
  </si>
  <si>
    <t>NYX</t>
  </si>
  <si>
    <t>Jo Malone</t>
  </si>
  <si>
    <t>United Kingdom</t>
  </si>
  <si>
    <t>Chanel</t>
  </si>
  <si>
    <t>Dior</t>
  </si>
  <si>
    <t>B011</t>
  </si>
  <si>
    <t>Real Techniques</t>
  </si>
  <si>
    <t>B012</t>
  </si>
  <si>
    <t>Beautyblender</t>
  </si>
  <si>
    <t>Company_Name</t>
  </si>
  <si>
    <t>Contact</t>
  </si>
  <si>
    <t>Service_Area</t>
  </si>
  <si>
    <t>Flash Express</t>
  </si>
  <si>
    <t>02-111-2233</t>
  </si>
  <si>
    <t>Bangkok</t>
  </si>
  <si>
    <t>J&amp;T Express</t>
  </si>
  <si>
    <t>02-222-3344</t>
  </si>
  <si>
    <t>Bangkok and Central Thailand</t>
  </si>
  <si>
    <t>Kerry Express</t>
  </si>
  <si>
    <t>02-333-4455</t>
  </si>
  <si>
    <t>Thailand Post</t>
  </si>
  <si>
    <t>02-444-5566</t>
  </si>
  <si>
    <t>Thailand</t>
  </si>
  <si>
    <t>DHL Express</t>
  </si>
  <si>
    <t>02-555-6677</t>
  </si>
  <si>
    <t>Payment_ID</t>
  </si>
  <si>
    <t>Payment_Method</t>
  </si>
  <si>
    <t>Amount</t>
  </si>
  <si>
    <t>PAY001</t>
  </si>
  <si>
    <t>Credit Card</t>
  </si>
  <si>
    <t>PAY002</t>
  </si>
  <si>
    <t>Cash</t>
  </si>
  <si>
    <t>PAY003</t>
  </si>
  <si>
    <t>Bank Transfer</t>
  </si>
  <si>
    <t>PAY004</t>
  </si>
  <si>
    <t>PAY005</t>
  </si>
  <si>
    <t>Mobile Banking</t>
  </si>
  <si>
    <t>PAY006</t>
  </si>
  <si>
    <t>PAY007</t>
  </si>
  <si>
    <t>PAY008</t>
  </si>
  <si>
    <t>PAY009</t>
  </si>
  <si>
    <t>PAY010</t>
  </si>
  <si>
    <t>PAY011</t>
  </si>
  <si>
    <t>PAY012</t>
  </si>
  <si>
    <t>PAY013</t>
  </si>
  <si>
    <t>PAY014</t>
  </si>
  <si>
    <t>PAY015</t>
  </si>
  <si>
    <t>PAY016</t>
  </si>
  <si>
    <t>PAY017</t>
  </si>
  <si>
    <t>PAY018</t>
  </si>
  <si>
    <t>PAY019</t>
  </si>
  <si>
    <t>PAY020</t>
  </si>
  <si>
    <t>Order_Date</t>
  </si>
  <si>
    <t>Customer_Name</t>
  </si>
  <si>
    <t>Category_Name</t>
  </si>
  <si>
    <t>Brand_Name</t>
  </si>
  <si>
    <t>Commission_rate</t>
  </si>
  <si>
    <t>Payment_Date</t>
  </si>
  <si>
    <t>Manager_name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</si>
</sst>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A2D7-E679-4292-8EEC-0253B47B7D81}">
  <dimension ref="A1:E31"/>
  <sheetViews>
    <sheetView topLeftCell="A7" workbookViewId="0">
      <selection activeCell="B33" sqref="B33"/>
    </sheetView>
  </sheetViews>
  <sheetFormatPr defaultRowHeight="14.4" x14ac:dyDescent="0.3"/>
  <cols>
    <col min="1" max="1" width="12.88671875" bestFit="1" customWidth="1"/>
    <col min="2" max="2" width="9.77734375" bestFit="1" customWidth="1"/>
    <col min="3" max="3" width="12.44140625" customWidth="1"/>
    <col min="4" max="4" width="1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61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>
        <v>50</v>
      </c>
    </row>
    <row r="3" spans="1:5" x14ac:dyDescent="0.3">
      <c r="A3" t="s">
        <v>8</v>
      </c>
      <c r="B3" t="s">
        <v>9</v>
      </c>
      <c r="C3" t="s">
        <v>10</v>
      </c>
      <c r="D3" t="s">
        <v>7</v>
      </c>
      <c r="E3">
        <v>35</v>
      </c>
    </row>
    <row r="4" spans="1:5" x14ac:dyDescent="0.3">
      <c r="A4" t="s">
        <v>11</v>
      </c>
      <c r="B4" t="s">
        <v>12</v>
      </c>
      <c r="C4" t="s">
        <v>13</v>
      </c>
      <c r="D4" t="s">
        <v>7</v>
      </c>
      <c r="E4">
        <v>30</v>
      </c>
    </row>
    <row r="5" spans="1:5" x14ac:dyDescent="0.3">
      <c r="A5" t="s">
        <v>14</v>
      </c>
      <c r="B5" t="s">
        <v>15</v>
      </c>
      <c r="C5" t="s">
        <v>16</v>
      </c>
      <c r="D5" t="s">
        <v>7</v>
      </c>
      <c r="E5">
        <v>25</v>
      </c>
    </row>
    <row r="6" spans="1:5" x14ac:dyDescent="0.3">
      <c r="A6" t="s">
        <v>17</v>
      </c>
      <c r="B6" t="s">
        <v>18</v>
      </c>
      <c r="C6" t="s">
        <v>19</v>
      </c>
      <c r="D6" t="s">
        <v>7</v>
      </c>
      <c r="E6">
        <v>40</v>
      </c>
    </row>
    <row r="7" spans="1:5" x14ac:dyDescent="0.3">
      <c r="A7" t="s">
        <v>20</v>
      </c>
      <c r="B7" t="s">
        <v>21</v>
      </c>
      <c r="C7" t="s">
        <v>22</v>
      </c>
      <c r="D7" t="s">
        <v>7</v>
      </c>
      <c r="E7">
        <v>55</v>
      </c>
    </row>
    <row r="8" spans="1:5" x14ac:dyDescent="0.3">
      <c r="A8" t="s">
        <v>23</v>
      </c>
      <c r="B8" t="s">
        <v>24</v>
      </c>
      <c r="C8" t="s">
        <v>25</v>
      </c>
      <c r="D8" t="s">
        <v>7</v>
      </c>
      <c r="E8">
        <v>45</v>
      </c>
    </row>
    <row r="9" spans="1:5" x14ac:dyDescent="0.3">
      <c r="A9" t="s">
        <v>26</v>
      </c>
      <c r="B9" t="s">
        <v>27</v>
      </c>
      <c r="C9" t="s">
        <v>28</v>
      </c>
      <c r="D9" t="s">
        <v>7</v>
      </c>
      <c r="E9">
        <v>25</v>
      </c>
    </row>
    <row r="10" spans="1:5" x14ac:dyDescent="0.3">
      <c r="A10" t="s">
        <v>29</v>
      </c>
      <c r="B10" t="s">
        <v>30</v>
      </c>
      <c r="C10" t="s">
        <v>31</v>
      </c>
      <c r="D10" t="s">
        <v>7</v>
      </c>
      <c r="E10">
        <v>30</v>
      </c>
    </row>
    <row r="11" spans="1:5" x14ac:dyDescent="0.3">
      <c r="A11" t="s">
        <v>32</v>
      </c>
      <c r="B11" t="s">
        <v>33</v>
      </c>
      <c r="C11" t="s">
        <v>34</v>
      </c>
      <c r="D11" t="s">
        <v>7</v>
      </c>
      <c r="E11">
        <v>20</v>
      </c>
    </row>
    <row r="12" spans="1:5" x14ac:dyDescent="0.3">
      <c r="A12" t="s">
        <v>35</v>
      </c>
      <c r="B12" t="s">
        <v>5</v>
      </c>
      <c r="C12" t="s">
        <v>6</v>
      </c>
      <c r="D12" t="s">
        <v>36</v>
      </c>
      <c r="E12">
        <v>5</v>
      </c>
    </row>
    <row r="13" spans="1:5" x14ac:dyDescent="0.3">
      <c r="A13" t="s">
        <v>37</v>
      </c>
      <c r="B13" t="s">
        <v>9</v>
      </c>
      <c r="C13" t="s">
        <v>10</v>
      </c>
      <c r="D13" t="s">
        <v>36</v>
      </c>
      <c r="E13">
        <v>5</v>
      </c>
    </row>
    <row r="14" spans="1:5" x14ac:dyDescent="0.3">
      <c r="A14" t="s">
        <v>38</v>
      </c>
      <c r="B14" t="s">
        <v>12</v>
      </c>
      <c r="C14" t="s">
        <v>13</v>
      </c>
      <c r="D14" t="s">
        <v>36</v>
      </c>
      <c r="E14">
        <v>5</v>
      </c>
    </row>
    <row r="15" spans="1:5" x14ac:dyDescent="0.3">
      <c r="A15" t="s">
        <v>39</v>
      </c>
      <c r="B15" t="s">
        <v>15</v>
      </c>
      <c r="C15" t="s">
        <v>16</v>
      </c>
      <c r="D15" t="s">
        <v>36</v>
      </c>
      <c r="E15">
        <v>5</v>
      </c>
    </row>
    <row r="16" spans="1:5" x14ac:dyDescent="0.3">
      <c r="A16" t="s">
        <v>40</v>
      </c>
      <c r="B16" t="s">
        <v>18</v>
      </c>
      <c r="C16" t="s">
        <v>19</v>
      </c>
      <c r="D16" t="s">
        <v>36</v>
      </c>
      <c r="E16">
        <v>5</v>
      </c>
    </row>
    <row r="17" spans="1:5" x14ac:dyDescent="0.3">
      <c r="A17" t="s">
        <v>41</v>
      </c>
      <c r="B17" t="s">
        <v>21</v>
      </c>
      <c r="C17" t="s">
        <v>22</v>
      </c>
      <c r="D17" t="s">
        <v>36</v>
      </c>
      <c r="E17">
        <v>5</v>
      </c>
    </row>
    <row r="18" spans="1:5" x14ac:dyDescent="0.3">
      <c r="A18" t="s">
        <v>42</v>
      </c>
      <c r="B18" t="s">
        <v>24</v>
      </c>
      <c r="C18" t="s">
        <v>25</v>
      </c>
      <c r="D18" t="s">
        <v>36</v>
      </c>
      <c r="E18">
        <v>5</v>
      </c>
    </row>
    <row r="19" spans="1:5" x14ac:dyDescent="0.3">
      <c r="A19" t="s">
        <v>43</v>
      </c>
      <c r="B19" t="s">
        <v>27</v>
      </c>
      <c r="C19" t="s">
        <v>28</v>
      </c>
      <c r="D19" t="s">
        <v>36</v>
      </c>
      <c r="E19">
        <v>7</v>
      </c>
    </row>
    <row r="20" spans="1:5" x14ac:dyDescent="0.3">
      <c r="A20" t="s">
        <v>44</v>
      </c>
      <c r="B20" t="s">
        <v>30</v>
      </c>
      <c r="C20" t="s">
        <v>31</v>
      </c>
      <c r="D20" t="s">
        <v>36</v>
      </c>
      <c r="E20">
        <v>8</v>
      </c>
    </row>
    <row r="21" spans="1:5" x14ac:dyDescent="0.3">
      <c r="A21" t="s">
        <v>45</v>
      </c>
      <c r="B21" t="s">
        <v>33</v>
      </c>
      <c r="C21" t="s">
        <v>34</v>
      </c>
      <c r="D21" t="s">
        <v>36</v>
      </c>
      <c r="E21">
        <v>5</v>
      </c>
    </row>
    <row r="22" spans="1:5" x14ac:dyDescent="0.3">
      <c r="A22" t="s">
        <v>46</v>
      </c>
      <c r="B22" t="s">
        <v>47</v>
      </c>
      <c r="C22" t="s">
        <v>6</v>
      </c>
      <c r="D22" t="s">
        <v>7</v>
      </c>
      <c r="E22">
        <v>30</v>
      </c>
    </row>
    <row r="23" spans="1:5" x14ac:dyDescent="0.3">
      <c r="A23" t="s">
        <v>48</v>
      </c>
      <c r="B23" t="s">
        <v>49</v>
      </c>
      <c r="C23" t="s">
        <v>10</v>
      </c>
      <c r="D23" t="s">
        <v>7</v>
      </c>
      <c r="E23">
        <v>70</v>
      </c>
    </row>
    <row r="24" spans="1:5" x14ac:dyDescent="0.3">
      <c r="A24" t="s">
        <v>50</v>
      </c>
      <c r="B24" t="s">
        <v>51</v>
      </c>
      <c r="C24" t="s">
        <v>13</v>
      </c>
      <c r="D24" t="s">
        <v>7</v>
      </c>
      <c r="E24">
        <v>20</v>
      </c>
    </row>
    <row r="25" spans="1:5" x14ac:dyDescent="0.3">
      <c r="A25" t="s">
        <v>52</v>
      </c>
      <c r="B25" t="s">
        <v>53</v>
      </c>
      <c r="C25" t="s">
        <v>16</v>
      </c>
      <c r="D25" t="s">
        <v>7</v>
      </c>
      <c r="E25">
        <v>40</v>
      </c>
    </row>
    <row r="26" spans="1:5" x14ac:dyDescent="0.3">
      <c r="A26" t="s">
        <v>54</v>
      </c>
      <c r="B26" t="s">
        <v>55</v>
      </c>
      <c r="C26" t="s">
        <v>19</v>
      </c>
      <c r="D26" t="s">
        <v>7</v>
      </c>
      <c r="E26">
        <v>30</v>
      </c>
    </row>
    <row r="27" spans="1:5" x14ac:dyDescent="0.3">
      <c r="A27" t="s">
        <v>56</v>
      </c>
      <c r="B27" t="s">
        <v>47</v>
      </c>
      <c r="C27" t="s">
        <v>6</v>
      </c>
      <c r="D27" t="s">
        <v>36</v>
      </c>
      <c r="E27">
        <v>2</v>
      </c>
    </row>
    <row r="28" spans="1:5" x14ac:dyDescent="0.3">
      <c r="A28" t="s">
        <v>57</v>
      </c>
      <c r="B28" t="s">
        <v>49</v>
      </c>
      <c r="C28" t="s">
        <v>10</v>
      </c>
      <c r="D28" t="s">
        <v>36</v>
      </c>
      <c r="E28">
        <v>10</v>
      </c>
    </row>
    <row r="29" spans="1:5" x14ac:dyDescent="0.3">
      <c r="A29" t="s">
        <v>58</v>
      </c>
      <c r="B29" t="s">
        <v>51</v>
      </c>
      <c r="C29" t="s">
        <v>13</v>
      </c>
      <c r="D29" t="s">
        <v>36</v>
      </c>
      <c r="E29">
        <v>4</v>
      </c>
    </row>
    <row r="30" spans="1:5" x14ac:dyDescent="0.3">
      <c r="A30" t="s">
        <v>59</v>
      </c>
      <c r="B30" t="s">
        <v>53</v>
      </c>
      <c r="C30" t="s">
        <v>16</v>
      </c>
      <c r="D30" t="s">
        <v>36</v>
      </c>
      <c r="E30">
        <v>8</v>
      </c>
    </row>
    <row r="31" spans="1:5" x14ac:dyDescent="0.3">
      <c r="A31" t="s">
        <v>60</v>
      </c>
      <c r="B31" t="s">
        <v>55</v>
      </c>
      <c r="C31" t="s">
        <v>19</v>
      </c>
      <c r="D31" t="s">
        <v>36</v>
      </c>
      <c r="E3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2F19-00BC-46B4-BC54-90D67DBC3A97}">
  <dimension ref="A3:D13"/>
  <sheetViews>
    <sheetView topLeftCell="A3" workbookViewId="0">
      <selection activeCell="B3" sqref="B3"/>
    </sheetView>
  </sheetViews>
  <sheetFormatPr defaultRowHeight="14.4" x14ac:dyDescent="0.3"/>
  <cols>
    <col min="1" max="1" width="13.44140625" customWidth="1"/>
    <col min="2" max="2" width="14.6640625" customWidth="1"/>
    <col min="3" max="3" width="13.33203125" customWidth="1"/>
    <col min="4" max="4" width="22" customWidth="1"/>
  </cols>
  <sheetData>
    <row r="3" spans="1:4" x14ac:dyDescent="0.3">
      <c r="A3" t="s">
        <v>2</v>
      </c>
      <c r="B3" t="s">
        <v>283</v>
      </c>
      <c r="C3" t="s">
        <v>62</v>
      </c>
      <c r="D3" t="s">
        <v>63</v>
      </c>
    </row>
    <row r="4" spans="1:4" x14ac:dyDescent="0.3">
      <c r="A4" t="s">
        <v>6</v>
      </c>
      <c r="B4" t="s">
        <v>64</v>
      </c>
      <c r="C4" t="s">
        <v>65</v>
      </c>
      <c r="D4" t="s">
        <v>66</v>
      </c>
    </row>
    <row r="5" spans="1:4" x14ac:dyDescent="0.3">
      <c r="A5" t="s">
        <v>10</v>
      </c>
      <c r="B5" t="s">
        <v>67</v>
      </c>
      <c r="C5" t="s">
        <v>68</v>
      </c>
      <c r="D5" t="s">
        <v>69</v>
      </c>
    </row>
    <row r="6" spans="1:4" x14ac:dyDescent="0.3">
      <c r="A6" t="s">
        <v>13</v>
      </c>
      <c r="B6" t="s">
        <v>70</v>
      </c>
      <c r="C6" t="s">
        <v>71</v>
      </c>
      <c r="D6" t="s">
        <v>72</v>
      </c>
    </row>
    <row r="7" spans="1:4" x14ac:dyDescent="0.3">
      <c r="A7" t="s">
        <v>16</v>
      </c>
      <c r="B7" t="s">
        <v>73</v>
      </c>
      <c r="C7" t="s">
        <v>74</v>
      </c>
      <c r="D7" t="s">
        <v>75</v>
      </c>
    </row>
    <row r="8" spans="1:4" x14ac:dyDescent="0.3">
      <c r="A8" t="s">
        <v>19</v>
      </c>
      <c r="B8" t="s">
        <v>76</v>
      </c>
      <c r="C8" t="s">
        <v>77</v>
      </c>
      <c r="D8" t="s">
        <v>78</v>
      </c>
    </row>
    <row r="9" spans="1:4" x14ac:dyDescent="0.3">
      <c r="A9" t="s">
        <v>22</v>
      </c>
      <c r="B9" t="s">
        <v>79</v>
      </c>
      <c r="C9" t="s">
        <v>80</v>
      </c>
      <c r="D9" t="s">
        <v>81</v>
      </c>
    </row>
    <row r="10" spans="1:4" x14ac:dyDescent="0.3">
      <c r="A10" t="s">
        <v>25</v>
      </c>
      <c r="B10" t="s">
        <v>82</v>
      </c>
      <c r="C10" t="s">
        <v>83</v>
      </c>
      <c r="D10" t="s">
        <v>84</v>
      </c>
    </row>
    <row r="11" spans="1:4" x14ac:dyDescent="0.3">
      <c r="A11" t="s">
        <v>28</v>
      </c>
      <c r="B11" t="s">
        <v>85</v>
      </c>
      <c r="C11" t="s">
        <v>86</v>
      </c>
      <c r="D11" t="s">
        <v>87</v>
      </c>
    </row>
    <row r="12" spans="1:4" x14ac:dyDescent="0.3">
      <c r="A12" t="s">
        <v>31</v>
      </c>
      <c r="B12" t="s">
        <v>88</v>
      </c>
      <c r="C12" t="s">
        <v>89</v>
      </c>
      <c r="D12" t="s">
        <v>90</v>
      </c>
    </row>
    <row r="13" spans="1:4" x14ac:dyDescent="0.3">
      <c r="A13" t="s">
        <v>34</v>
      </c>
      <c r="B13" t="s">
        <v>91</v>
      </c>
      <c r="C13" t="s">
        <v>92</v>
      </c>
      <c r="D1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42AB-6805-4F35-9764-E3F16C36B186}">
  <dimension ref="A1:F11"/>
  <sheetViews>
    <sheetView workbookViewId="0">
      <selection activeCell="F25" sqref="F25"/>
    </sheetView>
  </sheetViews>
  <sheetFormatPr defaultRowHeight="14.4" x14ac:dyDescent="0.3"/>
  <cols>
    <col min="1" max="1" width="11.6640625" customWidth="1"/>
    <col min="2" max="2" width="24.5546875" customWidth="1"/>
    <col min="3" max="3" width="9.77734375" customWidth="1"/>
    <col min="4" max="4" width="11.109375" customWidth="1"/>
    <col min="6" max="6" width="13" customWidth="1"/>
  </cols>
  <sheetData>
    <row r="1" spans="1:6" x14ac:dyDescent="0.3">
      <c r="A1" t="s">
        <v>1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3">
      <c r="A2" t="s">
        <v>5</v>
      </c>
      <c r="B2" t="s">
        <v>99</v>
      </c>
      <c r="C2" t="s">
        <v>100</v>
      </c>
      <c r="D2" t="s">
        <v>101</v>
      </c>
      <c r="E2">
        <v>100</v>
      </c>
      <c r="F2">
        <v>45</v>
      </c>
    </row>
    <row r="3" spans="1:6" x14ac:dyDescent="0.3">
      <c r="A3" t="s">
        <v>9</v>
      </c>
      <c r="B3" t="s">
        <v>102</v>
      </c>
      <c r="C3" t="s">
        <v>103</v>
      </c>
      <c r="D3" t="s">
        <v>101</v>
      </c>
      <c r="E3">
        <v>200</v>
      </c>
      <c r="F3">
        <v>30</v>
      </c>
    </row>
    <row r="4" spans="1:6" x14ac:dyDescent="0.3">
      <c r="A4" t="s">
        <v>12</v>
      </c>
      <c r="B4" t="s">
        <v>104</v>
      </c>
      <c r="C4" t="s">
        <v>105</v>
      </c>
      <c r="D4" t="s">
        <v>101</v>
      </c>
      <c r="E4">
        <v>300</v>
      </c>
      <c r="F4">
        <v>25</v>
      </c>
    </row>
    <row r="5" spans="1:6" x14ac:dyDescent="0.3">
      <c r="A5" t="s">
        <v>15</v>
      </c>
      <c r="B5" t="s">
        <v>106</v>
      </c>
      <c r="C5" t="s">
        <v>107</v>
      </c>
      <c r="D5" t="s">
        <v>101</v>
      </c>
      <c r="E5">
        <v>350</v>
      </c>
      <c r="F5">
        <v>20</v>
      </c>
    </row>
    <row r="6" spans="1:6" x14ac:dyDescent="0.3">
      <c r="A6" t="s">
        <v>18</v>
      </c>
      <c r="B6" t="s">
        <v>108</v>
      </c>
      <c r="C6" t="s">
        <v>109</v>
      </c>
      <c r="D6" t="s">
        <v>101</v>
      </c>
      <c r="E6">
        <v>450</v>
      </c>
      <c r="F6">
        <v>35</v>
      </c>
    </row>
    <row r="7" spans="1:6" x14ac:dyDescent="0.3">
      <c r="A7" t="s">
        <v>21</v>
      </c>
      <c r="B7" t="s">
        <v>110</v>
      </c>
      <c r="C7" t="s">
        <v>111</v>
      </c>
      <c r="D7" t="s">
        <v>112</v>
      </c>
      <c r="E7">
        <v>250</v>
      </c>
      <c r="F7">
        <v>50</v>
      </c>
    </row>
    <row r="8" spans="1:6" x14ac:dyDescent="0.3">
      <c r="A8" t="s">
        <v>24</v>
      </c>
      <c r="B8" t="s">
        <v>113</v>
      </c>
      <c r="C8" t="s">
        <v>114</v>
      </c>
      <c r="D8" t="s">
        <v>112</v>
      </c>
      <c r="E8">
        <v>180</v>
      </c>
      <c r="F8">
        <v>40</v>
      </c>
    </row>
    <row r="9" spans="1:6" x14ac:dyDescent="0.3">
      <c r="A9" t="s">
        <v>27</v>
      </c>
      <c r="B9" t="s">
        <v>115</v>
      </c>
      <c r="C9" t="s">
        <v>116</v>
      </c>
      <c r="D9" t="s">
        <v>117</v>
      </c>
      <c r="E9">
        <v>400</v>
      </c>
      <c r="F9">
        <v>18</v>
      </c>
    </row>
    <row r="10" spans="1:6" x14ac:dyDescent="0.3">
      <c r="A10" t="s">
        <v>30</v>
      </c>
      <c r="B10" t="s">
        <v>118</v>
      </c>
      <c r="C10" t="s">
        <v>119</v>
      </c>
      <c r="D10" t="s">
        <v>117</v>
      </c>
      <c r="E10">
        <v>500</v>
      </c>
      <c r="F10">
        <v>22</v>
      </c>
    </row>
    <row r="11" spans="1:6" x14ac:dyDescent="0.3">
      <c r="A11" t="s">
        <v>33</v>
      </c>
      <c r="B11" t="s">
        <v>120</v>
      </c>
      <c r="C11" t="s">
        <v>121</v>
      </c>
      <c r="D11" t="s">
        <v>117</v>
      </c>
      <c r="E11">
        <v>600</v>
      </c>
      <c r="F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0D57-8509-4C0B-9815-3494D27215F8}">
  <dimension ref="A1:D41"/>
  <sheetViews>
    <sheetView tabSelected="1" topLeftCell="A14" workbookViewId="0">
      <selection activeCell="A2" sqref="A2:D41"/>
    </sheetView>
  </sheetViews>
  <sheetFormatPr defaultRowHeight="14.4" x14ac:dyDescent="0.3"/>
  <cols>
    <col min="1" max="1" width="11.6640625" customWidth="1"/>
    <col min="2" max="2" width="11.88671875" customWidth="1"/>
    <col min="3" max="3" width="10.6640625" customWidth="1"/>
    <col min="4" max="4" width="11" customWidth="1"/>
  </cols>
  <sheetData>
    <row r="1" spans="1:4" x14ac:dyDescent="0.3">
      <c r="A1" t="s">
        <v>122</v>
      </c>
      <c r="B1" t="s">
        <v>1</v>
      </c>
      <c r="C1" t="s">
        <v>3</v>
      </c>
      <c r="D1" t="s">
        <v>123</v>
      </c>
    </row>
    <row r="2" spans="1:4" x14ac:dyDescent="0.3">
      <c r="A2" t="s">
        <v>124</v>
      </c>
      <c r="B2" t="s">
        <v>5</v>
      </c>
      <c r="C2">
        <v>2</v>
      </c>
      <c r="D2">
        <v>200</v>
      </c>
    </row>
    <row r="3" spans="1:4" x14ac:dyDescent="0.3">
      <c r="A3" t="s">
        <v>124</v>
      </c>
      <c r="B3" t="s">
        <v>15</v>
      </c>
      <c r="C3">
        <v>3</v>
      </c>
      <c r="D3">
        <v>1050</v>
      </c>
    </row>
    <row r="4" spans="1:4" x14ac:dyDescent="0.3">
      <c r="A4" t="s">
        <v>125</v>
      </c>
      <c r="B4" t="s">
        <v>5</v>
      </c>
      <c r="C4">
        <v>5</v>
      </c>
      <c r="D4">
        <v>500</v>
      </c>
    </row>
    <row r="5" spans="1:4" x14ac:dyDescent="0.3">
      <c r="A5" t="s">
        <v>125</v>
      </c>
      <c r="B5" t="s">
        <v>15</v>
      </c>
      <c r="C5">
        <v>1</v>
      </c>
      <c r="D5">
        <v>350</v>
      </c>
    </row>
    <row r="6" spans="1:4" x14ac:dyDescent="0.3">
      <c r="A6" t="s">
        <v>126</v>
      </c>
      <c r="B6" t="s">
        <v>5</v>
      </c>
      <c r="C6">
        <v>1</v>
      </c>
      <c r="D6">
        <v>100</v>
      </c>
    </row>
    <row r="7" spans="1:4" x14ac:dyDescent="0.3">
      <c r="A7" t="s">
        <v>126</v>
      </c>
      <c r="B7" t="s">
        <v>27</v>
      </c>
      <c r="C7">
        <v>5</v>
      </c>
      <c r="D7">
        <v>2000</v>
      </c>
    </row>
    <row r="8" spans="1:4" x14ac:dyDescent="0.3">
      <c r="A8" t="s">
        <v>127</v>
      </c>
      <c r="B8" t="s">
        <v>5</v>
      </c>
      <c r="C8">
        <v>1</v>
      </c>
      <c r="D8">
        <v>100</v>
      </c>
    </row>
    <row r="9" spans="1:4" x14ac:dyDescent="0.3">
      <c r="A9" t="s">
        <v>127</v>
      </c>
      <c r="B9" t="s">
        <v>15</v>
      </c>
      <c r="C9">
        <v>1</v>
      </c>
      <c r="D9">
        <v>350</v>
      </c>
    </row>
    <row r="10" spans="1:4" x14ac:dyDescent="0.3">
      <c r="A10" t="s">
        <v>128</v>
      </c>
      <c r="B10" t="s">
        <v>5</v>
      </c>
      <c r="C10">
        <v>5</v>
      </c>
      <c r="D10">
        <v>500</v>
      </c>
    </row>
    <row r="11" spans="1:4" x14ac:dyDescent="0.3">
      <c r="A11" t="s">
        <v>128</v>
      </c>
      <c r="B11" t="s">
        <v>21</v>
      </c>
      <c r="C11">
        <v>5</v>
      </c>
      <c r="D11">
        <v>1250</v>
      </c>
    </row>
    <row r="12" spans="1:4" x14ac:dyDescent="0.3">
      <c r="A12" t="s">
        <v>129</v>
      </c>
      <c r="B12" t="s">
        <v>5</v>
      </c>
      <c r="C12">
        <v>2</v>
      </c>
      <c r="D12">
        <v>200</v>
      </c>
    </row>
    <row r="13" spans="1:4" x14ac:dyDescent="0.3">
      <c r="A13" t="s">
        <v>129</v>
      </c>
      <c r="B13" t="s">
        <v>24</v>
      </c>
      <c r="C13">
        <v>4</v>
      </c>
      <c r="D13">
        <v>720</v>
      </c>
    </row>
    <row r="14" spans="1:4" x14ac:dyDescent="0.3">
      <c r="A14" t="s">
        <v>130</v>
      </c>
      <c r="B14" t="s">
        <v>5</v>
      </c>
      <c r="C14">
        <v>3</v>
      </c>
      <c r="D14">
        <v>300</v>
      </c>
    </row>
    <row r="15" spans="1:4" x14ac:dyDescent="0.3">
      <c r="A15" t="s">
        <v>130</v>
      </c>
      <c r="B15" t="s">
        <v>15</v>
      </c>
      <c r="C15">
        <v>3</v>
      </c>
      <c r="D15">
        <v>1050</v>
      </c>
    </row>
    <row r="16" spans="1:4" x14ac:dyDescent="0.3">
      <c r="A16" t="s">
        <v>131</v>
      </c>
      <c r="B16" t="s">
        <v>5</v>
      </c>
      <c r="C16">
        <v>2</v>
      </c>
      <c r="D16">
        <v>200</v>
      </c>
    </row>
    <row r="17" spans="1:4" x14ac:dyDescent="0.3">
      <c r="A17" t="s">
        <v>131</v>
      </c>
      <c r="B17" t="s">
        <v>33</v>
      </c>
      <c r="C17">
        <v>5</v>
      </c>
      <c r="D17">
        <v>3000</v>
      </c>
    </row>
    <row r="18" spans="1:4" x14ac:dyDescent="0.3">
      <c r="A18" t="s">
        <v>132</v>
      </c>
      <c r="B18" t="s">
        <v>9</v>
      </c>
      <c r="C18">
        <v>3</v>
      </c>
      <c r="D18">
        <v>600</v>
      </c>
    </row>
    <row r="19" spans="1:4" x14ac:dyDescent="0.3">
      <c r="A19" t="s">
        <v>132</v>
      </c>
      <c r="B19" t="s">
        <v>24</v>
      </c>
      <c r="C19">
        <v>1</v>
      </c>
      <c r="D19">
        <v>180</v>
      </c>
    </row>
    <row r="20" spans="1:4" x14ac:dyDescent="0.3">
      <c r="A20" t="s">
        <v>133</v>
      </c>
      <c r="B20" t="s">
        <v>5</v>
      </c>
      <c r="C20">
        <v>2</v>
      </c>
      <c r="D20">
        <v>200</v>
      </c>
    </row>
    <row r="21" spans="1:4" x14ac:dyDescent="0.3">
      <c r="A21" t="s">
        <v>133</v>
      </c>
      <c r="B21" t="s">
        <v>15</v>
      </c>
      <c r="C21">
        <v>5</v>
      </c>
      <c r="D21">
        <v>1750</v>
      </c>
    </row>
    <row r="22" spans="1:4" x14ac:dyDescent="0.3">
      <c r="A22" t="s">
        <v>134</v>
      </c>
      <c r="B22" t="s">
        <v>5</v>
      </c>
      <c r="C22">
        <v>3</v>
      </c>
      <c r="D22">
        <v>300</v>
      </c>
    </row>
    <row r="23" spans="1:4" x14ac:dyDescent="0.3">
      <c r="A23" t="s">
        <v>134</v>
      </c>
      <c r="B23" t="s">
        <v>15</v>
      </c>
      <c r="C23">
        <v>1</v>
      </c>
      <c r="D23">
        <v>350</v>
      </c>
    </row>
    <row r="24" spans="1:4" x14ac:dyDescent="0.3">
      <c r="A24" t="s">
        <v>135</v>
      </c>
      <c r="B24" t="s">
        <v>5</v>
      </c>
      <c r="C24">
        <v>4</v>
      </c>
      <c r="D24">
        <v>400</v>
      </c>
    </row>
    <row r="25" spans="1:4" x14ac:dyDescent="0.3">
      <c r="A25" t="s">
        <v>135</v>
      </c>
      <c r="B25" t="s">
        <v>27</v>
      </c>
      <c r="C25">
        <v>5</v>
      </c>
      <c r="D25">
        <v>2000</v>
      </c>
    </row>
    <row r="26" spans="1:4" x14ac:dyDescent="0.3">
      <c r="A26" t="s">
        <v>136</v>
      </c>
      <c r="B26" t="s">
        <v>5</v>
      </c>
      <c r="C26">
        <v>1</v>
      </c>
      <c r="D26">
        <v>100</v>
      </c>
    </row>
    <row r="27" spans="1:4" x14ac:dyDescent="0.3">
      <c r="A27" t="s">
        <v>136</v>
      </c>
      <c r="B27" t="s">
        <v>9</v>
      </c>
      <c r="C27">
        <v>5</v>
      </c>
      <c r="D27">
        <v>1000</v>
      </c>
    </row>
    <row r="28" spans="1:4" x14ac:dyDescent="0.3">
      <c r="A28" t="s">
        <v>137</v>
      </c>
      <c r="B28" t="s">
        <v>5</v>
      </c>
      <c r="C28">
        <v>2</v>
      </c>
      <c r="D28">
        <v>200</v>
      </c>
    </row>
    <row r="29" spans="1:4" x14ac:dyDescent="0.3">
      <c r="A29" t="s">
        <v>137</v>
      </c>
      <c r="B29" t="s">
        <v>15</v>
      </c>
      <c r="C29">
        <v>1</v>
      </c>
      <c r="D29">
        <v>350</v>
      </c>
    </row>
    <row r="30" spans="1:4" x14ac:dyDescent="0.3">
      <c r="A30" t="s">
        <v>138</v>
      </c>
      <c r="B30" t="s">
        <v>5</v>
      </c>
      <c r="C30">
        <v>3</v>
      </c>
      <c r="D30">
        <v>300</v>
      </c>
    </row>
    <row r="31" spans="1:4" x14ac:dyDescent="0.3">
      <c r="A31" t="s">
        <v>138</v>
      </c>
      <c r="B31" t="s">
        <v>30</v>
      </c>
      <c r="C31">
        <v>5</v>
      </c>
      <c r="D31">
        <v>2500</v>
      </c>
    </row>
    <row r="32" spans="1:4" x14ac:dyDescent="0.3">
      <c r="A32" t="s">
        <v>139</v>
      </c>
      <c r="B32" t="s">
        <v>5</v>
      </c>
      <c r="C32">
        <v>1</v>
      </c>
      <c r="D32">
        <v>100</v>
      </c>
    </row>
    <row r="33" spans="1:4" x14ac:dyDescent="0.3">
      <c r="A33" t="s">
        <v>139</v>
      </c>
      <c r="B33" t="s">
        <v>9</v>
      </c>
      <c r="C33">
        <v>4</v>
      </c>
      <c r="D33">
        <v>800</v>
      </c>
    </row>
    <row r="34" spans="1:4" x14ac:dyDescent="0.3">
      <c r="A34" t="s">
        <v>140</v>
      </c>
      <c r="B34" t="s">
        <v>5</v>
      </c>
      <c r="C34">
        <v>4</v>
      </c>
      <c r="D34">
        <v>400</v>
      </c>
    </row>
    <row r="35" spans="1:4" x14ac:dyDescent="0.3">
      <c r="A35" t="s">
        <v>140</v>
      </c>
      <c r="B35" t="s">
        <v>21</v>
      </c>
      <c r="C35">
        <v>5</v>
      </c>
      <c r="D35">
        <v>1250</v>
      </c>
    </row>
    <row r="36" spans="1:4" x14ac:dyDescent="0.3">
      <c r="A36" t="s">
        <v>141</v>
      </c>
      <c r="B36" t="s">
        <v>5</v>
      </c>
      <c r="C36">
        <v>2</v>
      </c>
      <c r="D36">
        <v>200</v>
      </c>
    </row>
    <row r="37" spans="1:4" x14ac:dyDescent="0.3">
      <c r="A37" t="s">
        <v>141</v>
      </c>
      <c r="B37" t="s">
        <v>15</v>
      </c>
      <c r="C37">
        <v>3</v>
      </c>
      <c r="D37">
        <v>1050</v>
      </c>
    </row>
    <row r="38" spans="1:4" x14ac:dyDescent="0.3">
      <c r="A38" t="s">
        <v>142</v>
      </c>
      <c r="B38" t="s">
        <v>5</v>
      </c>
      <c r="C38">
        <v>2</v>
      </c>
      <c r="D38">
        <v>200</v>
      </c>
    </row>
    <row r="39" spans="1:4" x14ac:dyDescent="0.3">
      <c r="A39" t="s">
        <v>142</v>
      </c>
      <c r="B39" t="s">
        <v>27</v>
      </c>
      <c r="C39">
        <v>5</v>
      </c>
      <c r="D39">
        <v>2000</v>
      </c>
    </row>
    <row r="40" spans="1:4" x14ac:dyDescent="0.3">
      <c r="A40" t="s">
        <v>143</v>
      </c>
      <c r="B40" t="s">
        <v>5</v>
      </c>
      <c r="C40">
        <v>4</v>
      </c>
      <c r="D40">
        <v>400</v>
      </c>
    </row>
    <row r="41" spans="1:4" x14ac:dyDescent="0.3">
      <c r="A41" t="s">
        <v>143</v>
      </c>
      <c r="B41" t="s">
        <v>15</v>
      </c>
      <c r="C41">
        <v>1</v>
      </c>
      <c r="D41">
        <v>350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54B4-2FA1-4ADF-A0EE-18E29800D942}">
  <dimension ref="A1:F21"/>
  <sheetViews>
    <sheetView workbookViewId="0">
      <selection sqref="A1:F21"/>
    </sheetView>
  </sheetViews>
  <sheetFormatPr defaultRowHeight="14.4" x14ac:dyDescent="0.3"/>
  <cols>
    <col min="1" max="1" width="11.109375" customWidth="1"/>
    <col min="2" max="2" width="11.33203125" bestFit="1" customWidth="1"/>
    <col min="3" max="3" width="11.33203125" customWidth="1"/>
    <col min="4" max="4" width="14.21875" customWidth="1"/>
    <col min="5" max="6" width="12.88671875" customWidth="1"/>
  </cols>
  <sheetData>
    <row r="1" spans="1:6" x14ac:dyDescent="0.3">
      <c r="A1" t="s">
        <v>122</v>
      </c>
      <c r="B1" t="s">
        <v>144</v>
      </c>
      <c r="C1" t="s">
        <v>161</v>
      </c>
      <c r="D1" t="s">
        <v>277</v>
      </c>
      <c r="E1" t="s">
        <v>145</v>
      </c>
      <c r="F1" t="s">
        <v>146</v>
      </c>
    </row>
    <row r="2" spans="1:6" x14ac:dyDescent="0.3">
      <c r="A2" t="s">
        <v>124</v>
      </c>
      <c r="B2" t="s">
        <v>147</v>
      </c>
      <c r="C2" t="s">
        <v>162</v>
      </c>
      <c r="D2" s="1">
        <v>46266</v>
      </c>
      <c r="E2" t="s">
        <v>148</v>
      </c>
      <c r="F2">
        <v>1250</v>
      </c>
    </row>
    <row r="3" spans="1:6" x14ac:dyDescent="0.3">
      <c r="A3" t="s">
        <v>125</v>
      </c>
      <c r="B3" t="s">
        <v>149</v>
      </c>
      <c r="C3" t="s">
        <v>163</v>
      </c>
      <c r="D3" s="1">
        <v>46267</v>
      </c>
      <c r="E3" t="s">
        <v>150</v>
      </c>
      <c r="F3">
        <v>850</v>
      </c>
    </row>
    <row r="4" spans="1:6" x14ac:dyDescent="0.3">
      <c r="A4" t="s">
        <v>126</v>
      </c>
      <c r="B4" t="s">
        <v>151</v>
      </c>
      <c r="C4" t="s">
        <v>164</v>
      </c>
      <c r="D4" s="1">
        <v>46268</v>
      </c>
      <c r="E4" t="s">
        <v>148</v>
      </c>
      <c r="F4">
        <v>2100</v>
      </c>
    </row>
    <row r="5" spans="1:6" x14ac:dyDescent="0.3">
      <c r="A5" t="s">
        <v>127</v>
      </c>
      <c r="B5" t="s">
        <v>152</v>
      </c>
      <c r="C5" t="s">
        <v>165</v>
      </c>
      <c r="D5" s="1">
        <v>46269</v>
      </c>
      <c r="E5" t="s">
        <v>153</v>
      </c>
      <c r="F5">
        <v>450</v>
      </c>
    </row>
    <row r="6" spans="1:6" x14ac:dyDescent="0.3">
      <c r="A6" t="s">
        <v>128</v>
      </c>
      <c r="B6" t="s">
        <v>154</v>
      </c>
      <c r="C6" t="s">
        <v>166</v>
      </c>
      <c r="D6" s="1">
        <v>46270</v>
      </c>
      <c r="E6" t="s">
        <v>148</v>
      </c>
      <c r="F6">
        <v>1750</v>
      </c>
    </row>
    <row r="7" spans="1:6" x14ac:dyDescent="0.3">
      <c r="A7" t="s">
        <v>129</v>
      </c>
      <c r="B7" t="s">
        <v>155</v>
      </c>
      <c r="C7" t="s">
        <v>162</v>
      </c>
      <c r="D7" s="1">
        <v>46271</v>
      </c>
      <c r="E7" t="s">
        <v>150</v>
      </c>
      <c r="F7">
        <v>920</v>
      </c>
    </row>
    <row r="8" spans="1:6" x14ac:dyDescent="0.3">
      <c r="A8" t="s">
        <v>130</v>
      </c>
      <c r="B8" t="s">
        <v>156</v>
      </c>
      <c r="C8" t="s">
        <v>163</v>
      </c>
      <c r="D8" s="1">
        <v>46272</v>
      </c>
      <c r="E8" t="s">
        <v>148</v>
      </c>
      <c r="F8">
        <v>1350</v>
      </c>
    </row>
    <row r="9" spans="1:6" x14ac:dyDescent="0.3">
      <c r="A9" t="s">
        <v>131</v>
      </c>
      <c r="B9" t="s">
        <v>157</v>
      </c>
      <c r="C9" t="s">
        <v>164</v>
      </c>
      <c r="D9" s="1">
        <v>46273</v>
      </c>
      <c r="E9" t="s">
        <v>148</v>
      </c>
      <c r="F9">
        <v>3200</v>
      </c>
    </row>
    <row r="10" spans="1:6" x14ac:dyDescent="0.3">
      <c r="A10" t="s">
        <v>132</v>
      </c>
      <c r="B10" t="s">
        <v>158</v>
      </c>
      <c r="C10" t="s">
        <v>165</v>
      </c>
      <c r="D10" s="1">
        <v>46274</v>
      </c>
      <c r="E10" t="s">
        <v>159</v>
      </c>
      <c r="F10">
        <v>780</v>
      </c>
    </row>
    <row r="11" spans="1:6" x14ac:dyDescent="0.3">
      <c r="A11" t="s">
        <v>133</v>
      </c>
      <c r="B11" t="s">
        <v>160</v>
      </c>
      <c r="C11" t="s">
        <v>166</v>
      </c>
      <c r="D11" s="1">
        <v>46275</v>
      </c>
      <c r="E11" t="s">
        <v>148</v>
      </c>
      <c r="F11">
        <v>1950</v>
      </c>
    </row>
    <row r="12" spans="1:6" x14ac:dyDescent="0.3">
      <c r="A12" t="s">
        <v>134</v>
      </c>
      <c r="B12" t="s">
        <v>147</v>
      </c>
      <c r="C12" t="s">
        <v>162</v>
      </c>
      <c r="D12" s="1">
        <v>46276</v>
      </c>
      <c r="E12" t="s">
        <v>150</v>
      </c>
      <c r="F12">
        <v>650</v>
      </c>
    </row>
    <row r="13" spans="1:6" x14ac:dyDescent="0.3">
      <c r="A13" t="s">
        <v>135</v>
      </c>
      <c r="B13" t="s">
        <v>154</v>
      </c>
      <c r="C13" t="s">
        <v>163</v>
      </c>
      <c r="D13" s="1">
        <v>46277</v>
      </c>
      <c r="E13" t="s">
        <v>148</v>
      </c>
      <c r="F13">
        <v>2400</v>
      </c>
    </row>
    <row r="14" spans="1:6" x14ac:dyDescent="0.3">
      <c r="A14" t="s">
        <v>136</v>
      </c>
      <c r="B14" t="s">
        <v>149</v>
      </c>
      <c r="C14" t="s">
        <v>164</v>
      </c>
      <c r="D14" s="1">
        <v>46278</v>
      </c>
      <c r="E14" t="s">
        <v>159</v>
      </c>
      <c r="F14">
        <v>1100</v>
      </c>
    </row>
    <row r="15" spans="1:6" x14ac:dyDescent="0.3">
      <c r="A15" t="s">
        <v>137</v>
      </c>
      <c r="B15" t="s">
        <v>156</v>
      </c>
      <c r="C15" t="s">
        <v>165</v>
      </c>
      <c r="D15" s="1">
        <v>46279</v>
      </c>
      <c r="E15" t="s">
        <v>153</v>
      </c>
      <c r="F15">
        <v>550</v>
      </c>
    </row>
    <row r="16" spans="1:6" x14ac:dyDescent="0.3">
      <c r="A16" t="s">
        <v>138</v>
      </c>
      <c r="B16" t="s">
        <v>151</v>
      </c>
      <c r="C16" t="s">
        <v>166</v>
      </c>
      <c r="D16" s="1">
        <v>46280</v>
      </c>
      <c r="E16" t="s">
        <v>148</v>
      </c>
      <c r="F16">
        <v>2800</v>
      </c>
    </row>
    <row r="17" spans="1:6" x14ac:dyDescent="0.3">
      <c r="A17" t="s">
        <v>139</v>
      </c>
      <c r="B17" t="s">
        <v>158</v>
      </c>
      <c r="C17" t="s">
        <v>162</v>
      </c>
      <c r="D17" s="1">
        <v>46281</v>
      </c>
      <c r="E17" t="s">
        <v>150</v>
      </c>
      <c r="F17">
        <v>900</v>
      </c>
    </row>
    <row r="18" spans="1:6" x14ac:dyDescent="0.3">
      <c r="A18" t="s">
        <v>140</v>
      </c>
      <c r="B18" t="s">
        <v>152</v>
      </c>
      <c r="C18" t="s">
        <v>163</v>
      </c>
      <c r="D18" s="1">
        <v>46282</v>
      </c>
      <c r="E18" t="s">
        <v>148</v>
      </c>
      <c r="F18">
        <v>1650</v>
      </c>
    </row>
    <row r="19" spans="1:6" x14ac:dyDescent="0.3">
      <c r="A19" t="s">
        <v>141</v>
      </c>
      <c r="B19" t="s">
        <v>157</v>
      </c>
      <c r="C19" t="s">
        <v>164</v>
      </c>
      <c r="D19" s="1">
        <v>46283</v>
      </c>
      <c r="E19" t="s">
        <v>159</v>
      </c>
      <c r="F19">
        <v>1250</v>
      </c>
    </row>
    <row r="20" spans="1:6" x14ac:dyDescent="0.3">
      <c r="A20" t="s">
        <v>142</v>
      </c>
      <c r="B20" t="s">
        <v>155</v>
      </c>
      <c r="C20" t="s">
        <v>165</v>
      </c>
      <c r="D20" s="1">
        <v>46284</v>
      </c>
      <c r="E20" t="s">
        <v>148</v>
      </c>
      <c r="F20">
        <v>2200</v>
      </c>
    </row>
    <row r="21" spans="1:6" x14ac:dyDescent="0.3">
      <c r="A21" t="s">
        <v>143</v>
      </c>
      <c r="B21" t="s">
        <v>160</v>
      </c>
      <c r="C21" t="s">
        <v>166</v>
      </c>
      <c r="D21" s="1">
        <v>46285</v>
      </c>
      <c r="E21" t="s">
        <v>150</v>
      </c>
      <c r="F21">
        <v>750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91B0-3C9F-4879-A175-30A05583E64F}">
  <dimension ref="A1:E11"/>
  <sheetViews>
    <sheetView workbookViewId="0">
      <selection activeCell="C14" sqref="C14"/>
    </sheetView>
  </sheetViews>
  <sheetFormatPr defaultRowHeight="14.4" x14ac:dyDescent="0.3"/>
  <cols>
    <col min="1" max="1" width="11.6640625" customWidth="1"/>
    <col min="2" max="2" width="16.5546875" customWidth="1"/>
    <col min="3" max="3" width="15.21875" customWidth="1"/>
    <col min="4" max="4" width="25.88671875" customWidth="1"/>
    <col min="5" max="5" width="25.44140625" customWidth="1"/>
  </cols>
  <sheetData>
    <row r="1" spans="1:5" x14ac:dyDescent="0.3">
      <c r="A1" t="s">
        <v>144</v>
      </c>
      <c r="B1" t="s">
        <v>278</v>
      </c>
      <c r="C1" t="s">
        <v>167</v>
      </c>
      <c r="D1" t="s">
        <v>168</v>
      </c>
      <c r="E1" t="s">
        <v>63</v>
      </c>
    </row>
    <row r="2" spans="1:5" x14ac:dyDescent="0.3">
      <c r="A2" t="s">
        <v>147</v>
      </c>
      <c r="B2" t="s">
        <v>169</v>
      </c>
      <c r="C2" t="s">
        <v>170</v>
      </c>
      <c r="D2" t="s">
        <v>171</v>
      </c>
      <c r="E2" t="str">
        <f>LOWER(SUBSTITUTE(B2," ","."))&amp;"@gmail.com"</f>
        <v>alex.johnson@gmail.com</v>
      </c>
    </row>
    <row r="3" spans="1:5" x14ac:dyDescent="0.3">
      <c r="A3" t="s">
        <v>151</v>
      </c>
      <c r="B3" t="s">
        <v>172</v>
      </c>
      <c r="C3" t="s">
        <v>173</v>
      </c>
      <c r="D3" t="s">
        <v>174</v>
      </c>
      <c r="E3" t="str">
        <f>LOWER(SUBSTITUTE(B3," ","."))&amp;"@gmail.com"</f>
        <v>emily.smith@gmail.com</v>
      </c>
    </row>
    <row r="4" spans="1:5" x14ac:dyDescent="0.3">
      <c r="A4" t="s">
        <v>149</v>
      </c>
      <c r="B4" t="s">
        <v>175</v>
      </c>
      <c r="C4" t="s">
        <v>176</v>
      </c>
      <c r="D4" t="s">
        <v>177</v>
      </c>
      <c r="E4" t="str">
        <f t="shared" ref="E4:E11" si="0">LOWER(SUBSTITUTE(B4," ","."))&amp;"@gmail.com"</f>
        <v>daniel.brown@gmail.com</v>
      </c>
    </row>
    <row r="5" spans="1:5" x14ac:dyDescent="0.3">
      <c r="A5" t="s">
        <v>154</v>
      </c>
      <c r="B5" t="s">
        <v>178</v>
      </c>
      <c r="C5" t="s">
        <v>179</v>
      </c>
      <c r="D5" t="s">
        <v>180</v>
      </c>
      <c r="E5" t="str">
        <f t="shared" si="0"/>
        <v>sophia.wilson@gmail.com</v>
      </c>
    </row>
    <row r="6" spans="1:5" x14ac:dyDescent="0.3">
      <c r="A6" t="s">
        <v>152</v>
      </c>
      <c r="B6" t="s">
        <v>178</v>
      </c>
      <c r="C6" t="s">
        <v>181</v>
      </c>
      <c r="D6" t="s">
        <v>182</v>
      </c>
      <c r="E6" t="str">
        <f t="shared" si="0"/>
        <v>sophia.wilson@gmail.com</v>
      </c>
    </row>
    <row r="7" spans="1:5" x14ac:dyDescent="0.3">
      <c r="A7" t="s">
        <v>156</v>
      </c>
      <c r="B7" t="s">
        <v>183</v>
      </c>
      <c r="C7" t="s">
        <v>184</v>
      </c>
      <c r="D7" t="s">
        <v>185</v>
      </c>
      <c r="E7" t="str">
        <f t="shared" si="0"/>
        <v>michael.davis@gmail.com</v>
      </c>
    </row>
    <row r="8" spans="1:5" x14ac:dyDescent="0.3">
      <c r="A8" t="s">
        <v>155</v>
      </c>
      <c r="B8" t="s">
        <v>186</v>
      </c>
      <c r="C8" t="s">
        <v>187</v>
      </c>
      <c r="D8" t="s">
        <v>188</v>
      </c>
      <c r="E8" t="str">
        <f t="shared" si="0"/>
        <v>isabella.moore@gmail.com</v>
      </c>
    </row>
    <row r="9" spans="1:5" x14ac:dyDescent="0.3">
      <c r="A9" t="s">
        <v>158</v>
      </c>
      <c r="B9" t="s">
        <v>189</v>
      </c>
      <c r="C9" t="s">
        <v>190</v>
      </c>
      <c r="D9" t="s">
        <v>191</v>
      </c>
      <c r="E9" t="str">
        <f t="shared" si="0"/>
        <v>james.anderson@gmail.com</v>
      </c>
    </row>
    <row r="10" spans="1:5" x14ac:dyDescent="0.3">
      <c r="A10" t="s">
        <v>160</v>
      </c>
      <c r="B10" t="s">
        <v>192</v>
      </c>
      <c r="C10" t="s">
        <v>193</v>
      </c>
      <c r="D10" t="s">
        <v>194</v>
      </c>
      <c r="E10" t="str">
        <f t="shared" si="0"/>
        <v>emma.taylor@gmail.com</v>
      </c>
    </row>
    <row r="11" spans="1:5" x14ac:dyDescent="0.3">
      <c r="A11" t="s">
        <v>157</v>
      </c>
      <c r="B11" t="s">
        <v>195</v>
      </c>
      <c r="C11" t="s">
        <v>196</v>
      </c>
      <c r="D11" t="s">
        <v>197</v>
      </c>
      <c r="E11" t="str">
        <f t="shared" si="0"/>
        <v>william.thomas@gmail.com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5B69-86B4-4FDA-BACA-4A522F43A856}">
  <dimension ref="A1:B11"/>
  <sheetViews>
    <sheetView workbookViewId="0">
      <selection activeCell="D16" sqref="D16"/>
    </sheetView>
  </sheetViews>
  <sheetFormatPr defaultRowHeight="14.4" x14ac:dyDescent="0.3"/>
  <cols>
    <col min="1" max="1" width="13.21875" customWidth="1"/>
    <col min="2" max="2" width="17.21875" customWidth="1"/>
  </cols>
  <sheetData>
    <row r="1" spans="1:2" x14ac:dyDescent="0.3">
      <c r="A1" t="s">
        <v>96</v>
      </c>
      <c r="B1" t="s">
        <v>279</v>
      </c>
    </row>
    <row r="2" spans="1:2" x14ac:dyDescent="0.3">
      <c r="A2" t="s">
        <v>101</v>
      </c>
      <c r="B2" t="s">
        <v>198</v>
      </c>
    </row>
    <row r="3" spans="1:2" x14ac:dyDescent="0.3">
      <c r="A3" t="s">
        <v>112</v>
      </c>
      <c r="B3" t="s">
        <v>199</v>
      </c>
    </row>
    <row r="4" spans="1:2" x14ac:dyDescent="0.3">
      <c r="A4" t="s">
        <v>117</v>
      </c>
      <c r="B4" t="s">
        <v>200</v>
      </c>
    </row>
    <row r="5" spans="1:2" x14ac:dyDescent="0.3">
      <c r="A5" t="s">
        <v>201</v>
      </c>
      <c r="B5" t="s">
        <v>202</v>
      </c>
    </row>
    <row r="6" spans="1:2" x14ac:dyDescent="0.3">
      <c r="A6" t="s">
        <v>203</v>
      </c>
      <c r="B6" t="s">
        <v>204</v>
      </c>
    </row>
    <row r="7" spans="1:2" x14ac:dyDescent="0.3">
      <c r="A7" t="s">
        <v>205</v>
      </c>
      <c r="B7" t="s">
        <v>206</v>
      </c>
    </row>
    <row r="8" spans="1:2" x14ac:dyDescent="0.3">
      <c r="A8" t="s">
        <v>207</v>
      </c>
      <c r="B8" t="s">
        <v>208</v>
      </c>
    </row>
    <row r="9" spans="1:2" x14ac:dyDescent="0.3">
      <c r="A9" t="s">
        <v>209</v>
      </c>
      <c r="B9" t="s">
        <v>210</v>
      </c>
    </row>
    <row r="10" spans="1:2" x14ac:dyDescent="0.3">
      <c r="A10" t="s">
        <v>211</v>
      </c>
      <c r="B10" t="s">
        <v>212</v>
      </c>
    </row>
    <row r="11" spans="1:2" x14ac:dyDescent="0.3">
      <c r="A11" t="s">
        <v>213</v>
      </c>
      <c r="B11" t="s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F71E-F7DB-4993-9EFB-137E3B0F8E4F}">
  <dimension ref="A1:C13"/>
  <sheetViews>
    <sheetView workbookViewId="0">
      <selection activeCell="C23" sqref="C23"/>
    </sheetView>
  </sheetViews>
  <sheetFormatPr defaultRowHeight="14.4" x14ac:dyDescent="0.3"/>
  <cols>
    <col min="2" max="2" width="15.21875" customWidth="1"/>
    <col min="3" max="3" width="15.6640625" customWidth="1"/>
  </cols>
  <sheetData>
    <row r="1" spans="1:3" x14ac:dyDescent="0.3">
      <c r="A1" t="s">
        <v>95</v>
      </c>
      <c r="B1" t="s">
        <v>280</v>
      </c>
      <c r="C1" t="s">
        <v>215</v>
      </c>
    </row>
    <row r="2" spans="1:3" x14ac:dyDescent="0.3">
      <c r="A2" t="s">
        <v>100</v>
      </c>
      <c r="B2" t="s">
        <v>216</v>
      </c>
      <c r="C2" t="s">
        <v>217</v>
      </c>
    </row>
    <row r="3" spans="1:3" x14ac:dyDescent="0.3">
      <c r="A3" t="s">
        <v>103</v>
      </c>
      <c r="B3" t="s">
        <v>218</v>
      </c>
      <c r="C3" t="s">
        <v>219</v>
      </c>
    </row>
    <row r="4" spans="1:3" x14ac:dyDescent="0.3">
      <c r="A4" t="s">
        <v>105</v>
      </c>
      <c r="B4" t="s">
        <v>220</v>
      </c>
      <c r="C4" t="s">
        <v>221</v>
      </c>
    </row>
    <row r="5" spans="1:3" x14ac:dyDescent="0.3">
      <c r="A5" t="s">
        <v>107</v>
      </c>
      <c r="B5" t="s">
        <v>222</v>
      </c>
      <c r="C5" t="s">
        <v>217</v>
      </c>
    </row>
    <row r="6" spans="1:3" x14ac:dyDescent="0.3">
      <c r="A6" t="s">
        <v>109</v>
      </c>
      <c r="B6" t="s">
        <v>223</v>
      </c>
      <c r="C6" t="s">
        <v>217</v>
      </c>
    </row>
    <row r="7" spans="1:3" x14ac:dyDescent="0.3">
      <c r="A7" t="s">
        <v>111</v>
      </c>
      <c r="B7" t="s">
        <v>224</v>
      </c>
      <c r="C7" t="s">
        <v>217</v>
      </c>
    </row>
    <row r="8" spans="1:3" x14ac:dyDescent="0.3">
      <c r="A8" t="s">
        <v>114</v>
      </c>
      <c r="B8" t="s">
        <v>225</v>
      </c>
      <c r="C8" t="s">
        <v>217</v>
      </c>
    </row>
    <row r="9" spans="1:3" x14ac:dyDescent="0.3">
      <c r="A9" t="s">
        <v>116</v>
      </c>
      <c r="B9" t="s">
        <v>226</v>
      </c>
      <c r="C9" t="s">
        <v>227</v>
      </c>
    </row>
    <row r="10" spans="1:3" x14ac:dyDescent="0.3">
      <c r="A10" t="s">
        <v>119</v>
      </c>
      <c r="B10" t="s">
        <v>228</v>
      </c>
      <c r="C10" t="s">
        <v>221</v>
      </c>
    </row>
    <row r="11" spans="1:3" x14ac:dyDescent="0.3">
      <c r="A11" t="s">
        <v>121</v>
      </c>
      <c r="B11" t="s">
        <v>229</v>
      </c>
      <c r="C11" t="s">
        <v>221</v>
      </c>
    </row>
    <row r="12" spans="1:3" x14ac:dyDescent="0.3">
      <c r="A12" t="s">
        <v>230</v>
      </c>
      <c r="B12" t="s">
        <v>231</v>
      </c>
      <c r="C12" t="s">
        <v>217</v>
      </c>
    </row>
    <row r="13" spans="1:3" x14ac:dyDescent="0.3">
      <c r="A13" t="s">
        <v>232</v>
      </c>
      <c r="B13" t="s">
        <v>233</v>
      </c>
      <c r="C13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2D59-AFDB-41DC-BD4F-33910A327846}">
  <dimension ref="A1:E6"/>
  <sheetViews>
    <sheetView workbookViewId="0">
      <selection activeCell="D16" sqref="D16"/>
    </sheetView>
  </sheetViews>
  <sheetFormatPr defaultRowHeight="14.4" x14ac:dyDescent="0.3"/>
  <cols>
    <col min="1" max="1" width="13.77734375" customWidth="1"/>
    <col min="2" max="2" width="17.44140625" customWidth="1"/>
    <col min="3" max="3" width="13.109375" customWidth="1"/>
    <col min="4" max="4" width="15.33203125" customWidth="1"/>
    <col min="5" max="5" width="24" customWidth="1"/>
  </cols>
  <sheetData>
    <row r="1" spans="1:5" x14ac:dyDescent="0.3">
      <c r="A1" t="s">
        <v>161</v>
      </c>
      <c r="B1" t="s">
        <v>234</v>
      </c>
      <c r="C1" t="s">
        <v>235</v>
      </c>
      <c r="D1" t="s">
        <v>281</v>
      </c>
      <c r="E1" t="s">
        <v>236</v>
      </c>
    </row>
    <row r="2" spans="1:5" x14ac:dyDescent="0.3">
      <c r="A2" t="s">
        <v>162</v>
      </c>
      <c r="B2" t="s">
        <v>237</v>
      </c>
      <c r="C2" t="s">
        <v>238</v>
      </c>
      <c r="D2" s="2">
        <v>0.05</v>
      </c>
      <c r="E2" t="s">
        <v>239</v>
      </c>
    </row>
    <row r="3" spans="1:5" x14ac:dyDescent="0.3">
      <c r="A3" t="s">
        <v>163</v>
      </c>
      <c r="B3" t="s">
        <v>240</v>
      </c>
      <c r="C3" t="s">
        <v>241</v>
      </c>
      <c r="D3" s="2">
        <v>0.06</v>
      </c>
      <c r="E3" t="s">
        <v>242</v>
      </c>
    </row>
    <row r="4" spans="1:5" x14ac:dyDescent="0.3">
      <c r="A4" t="s">
        <v>164</v>
      </c>
      <c r="B4" t="s">
        <v>243</v>
      </c>
      <c r="C4" t="s">
        <v>244</v>
      </c>
      <c r="D4" s="2">
        <v>7.0000000000000007E-2</v>
      </c>
      <c r="E4" t="s">
        <v>239</v>
      </c>
    </row>
    <row r="5" spans="1:5" x14ac:dyDescent="0.3">
      <c r="A5" t="s">
        <v>165</v>
      </c>
      <c r="B5" t="s">
        <v>245</v>
      </c>
      <c r="C5" t="s">
        <v>246</v>
      </c>
      <c r="D5" s="2">
        <v>0.04</v>
      </c>
      <c r="E5" t="s">
        <v>247</v>
      </c>
    </row>
    <row r="6" spans="1:5" x14ac:dyDescent="0.3">
      <c r="A6" t="s">
        <v>166</v>
      </c>
      <c r="B6" t="s">
        <v>248</v>
      </c>
      <c r="C6" t="s">
        <v>249</v>
      </c>
      <c r="D6" s="2">
        <v>0.08</v>
      </c>
      <c r="E6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101A-0524-4935-A035-2C5F0A5784C2}">
  <dimension ref="A1:E21"/>
  <sheetViews>
    <sheetView workbookViewId="0">
      <selection activeCell="C23" sqref="C23"/>
    </sheetView>
  </sheetViews>
  <sheetFormatPr defaultRowHeight="14.4" x14ac:dyDescent="0.3"/>
  <cols>
    <col min="1" max="1" width="10.44140625" bestFit="1" customWidth="1"/>
    <col min="3" max="3" width="13.77734375" customWidth="1"/>
    <col min="4" max="4" width="17" customWidth="1"/>
  </cols>
  <sheetData>
    <row r="1" spans="1:5" x14ac:dyDescent="0.3">
      <c r="A1" t="s">
        <v>250</v>
      </c>
      <c r="B1" t="s">
        <v>122</v>
      </c>
      <c r="C1" t="s">
        <v>282</v>
      </c>
      <c r="D1" t="s">
        <v>251</v>
      </c>
      <c r="E1" t="s">
        <v>252</v>
      </c>
    </row>
    <row r="2" spans="1:5" x14ac:dyDescent="0.3">
      <c r="A2" t="s">
        <v>253</v>
      </c>
      <c r="B2" t="s">
        <v>124</v>
      </c>
      <c r="C2" s="1">
        <v>46266</v>
      </c>
      <c r="D2" t="s">
        <v>254</v>
      </c>
      <c r="E2">
        <v>1250</v>
      </c>
    </row>
    <row r="3" spans="1:5" x14ac:dyDescent="0.3">
      <c r="A3" t="s">
        <v>255</v>
      </c>
      <c r="B3" t="s">
        <v>125</v>
      </c>
      <c r="C3" s="1">
        <v>46267</v>
      </c>
      <c r="D3" t="s">
        <v>256</v>
      </c>
      <c r="E3">
        <v>850</v>
      </c>
    </row>
    <row r="4" spans="1:5" x14ac:dyDescent="0.3">
      <c r="A4" t="s">
        <v>257</v>
      </c>
      <c r="B4" t="s">
        <v>126</v>
      </c>
      <c r="C4" s="1">
        <v>46268</v>
      </c>
      <c r="D4" t="s">
        <v>258</v>
      </c>
      <c r="E4">
        <v>2100</v>
      </c>
    </row>
    <row r="5" spans="1:5" x14ac:dyDescent="0.3">
      <c r="A5" t="s">
        <v>259</v>
      </c>
      <c r="B5" t="s">
        <v>127</v>
      </c>
      <c r="C5" s="1">
        <v>46269</v>
      </c>
      <c r="D5" t="s">
        <v>254</v>
      </c>
      <c r="E5">
        <v>450</v>
      </c>
    </row>
    <row r="6" spans="1:5" x14ac:dyDescent="0.3">
      <c r="A6" t="s">
        <v>260</v>
      </c>
      <c r="B6" t="s">
        <v>128</v>
      </c>
      <c r="C6" s="1">
        <v>46270</v>
      </c>
      <c r="D6" t="s">
        <v>261</v>
      </c>
      <c r="E6">
        <v>1750</v>
      </c>
    </row>
    <row r="7" spans="1:5" x14ac:dyDescent="0.3">
      <c r="A7" t="s">
        <v>262</v>
      </c>
      <c r="B7" t="s">
        <v>129</v>
      </c>
      <c r="C7" s="1">
        <v>46271</v>
      </c>
      <c r="D7" t="s">
        <v>256</v>
      </c>
      <c r="E7">
        <v>920</v>
      </c>
    </row>
    <row r="8" spans="1:5" x14ac:dyDescent="0.3">
      <c r="A8" t="s">
        <v>263</v>
      </c>
      <c r="B8" t="s">
        <v>130</v>
      </c>
      <c r="C8" s="1">
        <v>46272</v>
      </c>
      <c r="D8" t="s">
        <v>254</v>
      </c>
      <c r="E8">
        <v>1350</v>
      </c>
    </row>
    <row r="9" spans="1:5" x14ac:dyDescent="0.3">
      <c r="A9" t="s">
        <v>264</v>
      </c>
      <c r="B9" t="s">
        <v>131</v>
      </c>
      <c r="C9" s="1">
        <v>46273</v>
      </c>
      <c r="D9" t="s">
        <v>258</v>
      </c>
      <c r="E9">
        <v>3200</v>
      </c>
    </row>
    <row r="10" spans="1:5" x14ac:dyDescent="0.3">
      <c r="A10" t="s">
        <v>265</v>
      </c>
      <c r="B10" t="s">
        <v>132</v>
      </c>
      <c r="C10" s="1">
        <v>46274</v>
      </c>
      <c r="D10" t="s">
        <v>261</v>
      </c>
      <c r="E10">
        <v>780</v>
      </c>
    </row>
    <row r="11" spans="1:5" x14ac:dyDescent="0.3">
      <c r="A11" t="s">
        <v>266</v>
      </c>
      <c r="B11" t="s">
        <v>133</v>
      </c>
      <c r="C11" s="1">
        <v>46275</v>
      </c>
      <c r="D11" t="s">
        <v>254</v>
      </c>
      <c r="E11">
        <v>1950</v>
      </c>
    </row>
    <row r="12" spans="1:5" x14ac:dyDescent="0.3">
      <c r="A12" t="s">
        <v>267</v>
      </c>
      <c r="B12" t="s">
        <v>134</v>
      </c>
      <c r="C12" s="1">
        <v>46276</v>
      </c>
      <c r="D12" t="s">
        <v>256</v>
      </c>
      <c r="E12">
        <v>650</v>
      </c>
    </row>
    <row r="13" spans="1:5" x14ac:dyDescent="0.3">
      <c r="A13" t="s">
        <v>268</v>
      </c>
      <c r="B13" t="s">
        <v>135</v>
      </c>
      <c r="C13" s="1">
        <v>46277</v>
      </c>
      <c r="D13" t="s">
        <v>258</v>
      </c>
      <c r="E13">
        <v>2400</v>
      </c>
    </row>
    <row r="14" spans="1:5" x14ac:dyDescent="0.3">
      <c r="A14" t="s">
        <v>269</v>
      </c>
      <c r="B14" t="s">
        <v>136</v>
      </c>
      <c r="C14" s="1">
        <v>46278</v>
      </c>
      <c r="D14" t="s">
        <v>254</v>
      </c>
      <c r="E14">
        <v>1100</v>
      </c>
    </row>
    <row r="15" spans="1:5" x14ac:dyDescent="0.3">
      <c r="A15" t="s">
        <v>270</v>
      </c>
      <c r="B15" t="s">
        <v>137</v>
      </c>
      <c r="C15" s="1">
        <v>46279</v>
      </c>
      <c r="D15" t="s">
        <v>256</v>
      </c>
      <c r="E15">
        <v>550</v>
      </c>
    </row>
    <row r="16" spans="1:5" x14ac:dyDescent="0.3">
      <c r="A16" t="s">
        <v>271</v>
      </c>
      <c r="B16" t="s">
        <v>138</v>
      </c>
      <c r="C16" s="1">
        <v>46280</v>
      </c>
      <c r="D16" t="s">
        <v>261</v>
      </c>
      <c r="E16">
        <v>2800</v>
      </c>
    </row>
    <row r="17" spans="1:5" x14ac:dyDescent="0.3">
      <c r="A17" t="s">
        <v>272</v>
      </c>
      <c r="B17" t="s">
        <v>139</v>
      </c>
      <c r="C17" s="1">
        <v>46281</v>
      </c>
      <c r="D17" t="s">
        <v>254</v>
      </c>
      <c r="E17">
        <v>900</v>
      </c>
    </row>
    <row r="18" spans="1:5" x14ac:dyDescent="0.3">
      <c r="A18" t="s">
        <v>273</v>
      </c>
      <c r="B18" t="s">
        <v>140</v>
      </c>
      <c r="C18" s="1">
        <v>46282</v>
      </c>
      <c r="D18" t="s">
        <v>258</v>
      </c>
      <c r="E18">
        <v>1650</v>
      </c>
    </row>
    <row r="19" spans="1:5" x14ac:dyDescent="0.3">
      <c r="A19" t="s">
        <v>274</v>
      </c>
      <c r="B19" t="s">
        <v>141</v>
      </c>
      <c r="C19" s="1">
        <v>46283</v>
      </c>
      <c r="D19" t="s">
        <v>261</v>
      </c>
      <c r="E19">
        <v>1250</v>
      </c>
    </row>
    <row r="20" spans="1:5" x14ac:dyDescent="0.3">
      <c r="A20" t="s">
        <v>275</v>
      </c>
      <c r="B20" t="s">
        <v>142</v>
      </c>
      <c r="C20" s="1">
        <v>46284</v>
      </c>
      <c r="D20" t="s">
        <v>254</v>
      </c>
      <c r="E20">
        <v>2200</v>
      </c>
    </row>
    <row r="21" spans="1:5" x14ac:dyDescent="0.3">
      <c r="A21" t="s">
        <v>276</v>
      </c>
      <c r="B21" t="s">
        <v>143</v>
      </c>
      <c r="C21" s="1">
        <v>46285</v>
      </c>
      <c r="D21" t="s">
        <v>256</v>
      </c>
      <c r="E21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Stock_transactions</vt:lpstr>
      <vt:lpstr>Stock_Managers</vt:lpstr>
      <vt:lpstr>Products</vt:lpstr>
      <vt:lpstr>Order_Details</vt:lpstr>
      <vt:lpstr>Orders</vt:lpstr>
      <vt:lpstr>Customers</vt:lpstr>
      <vt:lpstr>Categories</vt:lpstr>
      <vt:lpstr>Brands</vt:lpstr>
      <vt:lpstr>Delivery Services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Sitt Min Pyae Sone</dc:creator>
  <cp:lastModifiedBy>Ei Thinzar</cp:lastModifiedBy>
  <dcterms:created xsi:type="dcterms:W3CDTF">2026-09-23T05:50:21Z</dcterms:created>
  <dcterms:modified xsi:type="dcterms:W3CDTF">2026-09-26T07:55:41Z</dcterms:modified>
</cp:coreProperties>
</file>